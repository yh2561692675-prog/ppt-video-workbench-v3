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d9204a896940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804db67effb49cc"/>
    <x:sheet xmlns:r="http://schemas.openxmlformats.org/officeDocument/2006/relationships" name="Traceability" sheetId="2" r:id="R13a3b7ceeb424baf"/>
    <x:sheet xmlns:r="http://schemas.openxmlformats.org/officeDocument/2006/relationships" name="Fixtures" sheetId="3" r:id="R269ecd270dca4d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B1F33"/>
      <x:name val="Carlito"/>
    </x:font>
    <x:font>
      <x:b/>
      <x:sz val="10"/>
      <x:color rgb="FF17324D"/>
      <x:name val="Noto Sans CJK SC"/>
    </x:font>
    <x:font>
      <x:sz val="10"/>
      <x:color rgb="FF17324D"/>
      <x:name val="Noto Sans CJK SC"/>
    </x:font>
    <x:font>
      <x:b/>
      <x:sz val="16"/>
      <x:color rgb="FFFFFFFF"/>
      <x:name val="Noto Sans CJK SC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CEEFF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C8D6E5"/>
      </x:left>
      <x:right style="thin">
        <x:color rgb="FFC8D6E5"/>
      </x:right>
      <x:top style="thin">
        <x:color rgb="FFC8D6E5"/>
      </x:top>
      <x:bottom style="thin">
        <x:color rgb="FFC8D6E5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3" fillId="3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1"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c3dd0fbe3b42b6" /><Relationship Type="http://schemas.openxmlformats.org/officeDocument/2006/relationships/theme" Target="/xl/theme/theme1.xml" Id="R78431b1a411643c7" /><Relationship Type="http://schemas.openxmlformats.org/officeDocument/2006/relationships/sharedStrings" Target="/xl/sharedStrings.xml" Id="Rdde31a71995f4b01" /><Relationship Type="http://schemas.openxmlformats.org/officeDocument/2006/relationships/worksheet" Target="/xl/worksheets/sheet1.xml" Id="R4804db67effb49cc" /><Relationship Type="http://schemas.openxmlformats.org/officeDocument/2006/relationships/worksheet" Target="/xl/worksheets/sheet2.xml" Id="R13a3b7ceeb424baf" /><Relationship Type="http://schemas.openxmlformats.org/officeDocument/2006/relationships/worksheet" Target="/xl/worksheets/sheet3.xml" Id="R269ecd270dca4d2f" /></Relationships>
</file>

<file path=xl/tables/table1.xml><?xml version="1.0" encoding="utf-8"?>
<x:table xmlns:x="http://schemas.openxmlformats.org/spreadsheetml/2006/main" id="1" name="TraceabilityTable" displayName="TraceabilityTable" ref="A5:K28" headerRowCount="1" totalsRowCount="0" totalsRowShown="0">
  <x:tableColumns count="11">
    <x:tableColumn id="1" name="需求 ID / Requirement ID"/>
    <x:tableColumn id="2" name="领域 / Domain"/>
    <x:tableColumn id="3" name="需求描述 / Requirement"/>
    <x:tableColumn id="4" name="优先级 / Priority"/>
    <x:tableColumn id="5" name="验收测试 ID / Test IDs"/>
    <x:tableColumn id="6" name="前置条件 / Preconditions"/>
    <x:tableColumn id="7" name="步骤 / Steps"/>
    <x:tableColumn id="8" name="期望 / Expected"/>
    <x:tableColumn id="9" name="证据路径 / Evidence"/>
    <x:tableColumn id="10" name="执行环境 / Environment"/>
    <x:tableColumn id="11" name="结果 / Resul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xturesTable" displayName="FixturesTable" ref="A5:G17" headerRowCount="1" totalsRowCount="0" totalsRowShown="0">
  <x:tableColumns count="7">
    <x:tableColumn id="1" name="Fixture ID"/>
    <x:tableColumn id="2" name="类型 / Kind"/>
    <x:tableColumn id="3" name="名称 / Name"/>
    <x:tableColumn id="4" name="合成配方 / Recipe"/>
    <x:tableColumn id="5" name="执行环境 / Environment"/>
    <x:tableColumn id="6" name="状态 / Status"/>
    <x:tableColumn id="7" name="说明 /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e0ca08a50648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1eb9fad23345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0" customHeight="1">
      <x:c r="A1" s="21" t="str">
        <x:v>M8 V1.0 Acceptance Traceability / 验收追踪矩阵</x:v>
      </x:c>
      <x:c r="B1" s="21"/>
      <x:c r="C1" s="21"/>
      <x:c r="D1" s="21"/>
      <x:c r="E1" s="21"/>
      <x:c r="F1" s="21"/>
    </x:row>
    <x:row r="2">
      <x:c r="A2" s="17"/>
      <x:c r="B2" s="17"/>
      <x:c r="C2" s="17"/>
      <x:c r="D2" s="17"/>
      <x:c r="E2" s="17"/>
      <x:c r="F2" s="17"/>
    </x:row>
    <x:row r="3" ht="24" customHeight="1">
      <x:c r="A3" s="18" t="str">
        <x:v>指标 / Metric</x:v>
      </x:c>
      <x:c r="B3" s="18" t="str">
        <x:v>值 / Value</x:v>
      </x:c>
      <x:c r="C3" s="17"/>
      <x:c r="D3" s="17"/>
      <x:c r="E3" s="17"/>
      <x:c r="F3" s="17"/>
    </x:row>
    <x:row r="4" ht="24" customHeight="1">
      <x:c r="A4" s="19" t="str">
        <x:v>需求总数 / Requirements</x:v>
      </x:c>
      <x:c r="B4" s="19" t="n">
        <x:f>COUNTA('Traceability'!A6:A28)</x:f>
        <x:v>23</x:v>
      </x:c>
      <x:c r="C4" s="17"/>
      <x:c r="D4" s="17"/>
      <x:c r="E4" s="17"/>
      <x:c r="F4" s="17"/>
    </x:row>
    <x:row r="5" ht="24" customHeight="1">
      <x:c r="A5" s="19" t="str">
        <x:v>自动化证据行 / Automated rows</x:v>
      </x:c>
      <x:c r="B5" s="19" t="n">
        <x:f>COUNTIF('Traceability'!K6:K28,"automated_evidence")</x:f>
        <x:v>14</x:v>
      </x:c>
      <x:c r="C5" s="17"/>
      <x:c r="D5" s="17"/>
      <x:c r="E5" s="17"/>
      <x:c r="F5" s="17"/>
    </x:row>
    <x:row r="6" ht="24" customHeight="1">
      <x:c r="A6" s="19" t="str">
        <x:v>Windows/真实服务待签署行 / Manual pending</x:v>
      </x:c>
      <x:c r="B6" s="19" t="n">
        <x:f>COUNTIF('Traceability'!K6:K28,"pending_manual_windows")</x:f>
        <x:v>9</x:v>
      </x:c>
      <x:c r="C6" s="17"/>
      <x:c r="D6" s="17"/>
      <x:c r="E6" s="17"/>
      <x:c r="F6" s="17"/>
    </x:row>
    <x:row r="7" ht="24" customHeight="1">
      <x:c r="A7" s="19" t="str">
        <x:v>当前发布状态 / Release status</x:v>
      </x:c>
      <x:c r="B7" s="19" t="str">
        <x:v>RC candidate — manual sign-off pending</x:v>
      </x:c>
      <x:c r="C7" s="17"/>
      <x:c r="D7" s="17"/>
      <x:c r="E7" s="17"/>
      <x:c r="F7" s="17"/>
    </x:row>
    <x:row r="8">
      <x:c r="A8" s="17"/>
      <x:c r="B8" s="17"/>
      <x:c r="C8" s="17"/>
      <x:c r="D8" s="17"/>
      <x:c r="E8" s="17"/>
      <x:c r="F8" s="17"/>
    </x:row>
    <x:row r="9" ht="42" customHeight="1">
      <x:c r="A9" s="20" t="str">
        <x:v>Note: automated_evidence means Linux/CI only. Windows VM, real voice and audiovisual review require RC1 sign-off / Windows 实机、真实声音和人工视听需单独签署。</x:v>
      </x:c>
      <x:c r="B9" s="20"/>
      <x:c r="C9" s="20"/>
      <x:c r="D9" s="20"/>
      <x:c r="E9" s="20"/>
      <x:c r="F9" s="20"/>
    </x:row>
    <x:row r="10">
      <x:c r="A10" s="17"/>
      <x:c r="B10" s="17"/>
      <x:c r="C10" s="17"/>
      <x:c r="D10" s="17"/>
      <x:c r="E10" s="17"/>
      <x:c r="F10" s="17"/>
    </x:row>
    <x:row r="11">
      <x:c r="A11" s="17"/>
      <x:c r="B11" s="17"/>
      <x:c r="C11" s="17"/>
      <x:c r="D11" s="17"/>
      <x:c r="E11" s="17"/>
      <x:c r="F11" s="17"/>
    </x:row>
    <x:row r="12">
      <x:c r="A12" s="17"/>
      <x:c r="B12" s="17"/>
      <x:c r="C12" s="17"/>
      <x:c r="D12" s="17"/>
      <x:c r="E12" s="17"/>
      <x:c r="F12" s="17"/>
    </x:row>
  </x:sheetData>
  <x:mergeCells>
    <x:mergeCell ref="A1:F1"/>
    <x:mergeCell ref="A9:F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34" hidden="0" customWidth="1"/>
    <x:col min="4" max="4" width="14" hidden="0" customWidth="1"/>
    <x:col min="5" max="5" width="14" hidden="0" customWidth="1"/>
    <x:col min="6" max="6" width="28" hidden="0" customWidth="1"/>
    <x:col min="7" max="7" width="28" hidden="0" customWidth="1"/>
    <x:col min="8" max="8" width="28" hidden="0" customWidth="1"/>
    <x:col min="9" max="9" width="38" hidden="0" customWidth="1"/>
    <x:col min="10" max="10" width="24" hidden="0" customWidth="1"/>
    <x:col min="11" max="11" width="24" hidden="0" customWidth="1"/>
  </x:cols>
  <x:sheetData>
    <x:row r="1" ht="30" customHeight="1">
      <x:c r="A1" s="21" t="str">
        <x:v>M8 Acceptance Traceability Matrix / 需求—验收追踪矩阵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</x:row>
    <x:row r="4">
      <x:c r="A4" s="17"/>
      <x:c r="B4" s="17"/>
      <x:c r="C4" s="17"/>
      <x:c r="D4" s="17"/>
      <x:c r="E4" s="17"/>
      <x:c r="F4" s="17"/>
      <x:c r="G4" s="17"/>
      <x:c r="H4" s="17"/>
      <x:c r="I4" s="17"/>
      <x:c r="J4" s="17"/>
      <x:c r="K4" s="17"/>
    </x:row>
    <x:row r="5" ht="34" customHeight="1">
      <x:c r="A5" s="18" t="str">
        <x:v>需求 ID / Requirement ID</x:v>
      </x:c>
      <x:c r="B5" s="18" t="str">
        <x:v>领域 / Domain</x:v>
      </x:c>
      <x:c r="C5" s="18" t="str">
        <x:v>需求描述 / Requirement</x:v>
      </x:c>
      <x:c r="D5" s="18" t="str">
        <x:v>优先级 / Priority</x:v>
      </x:c>
      <x:c r="E5" s="18" t="str">
        <x:v>验收测试 ID / Test IDs</x:v>
      </x:c>
      <x:c r="F5" s="18" t="str">
        <x:v>前置条件 / Preconditions</x:v>
      </x:c>
      <x:c r="G5" s="18" t="str">
        <x:v>步骤 / Steps</x:v>
      </x:c>
      <x:c r="H5" s="18" t="str">
        <x:v>期望 / Expected</x:v>
      </x:c>
      <x:c r="I5" s="18" t="str">
        <x:v>证据路径 / Evidence</x:v>
      </x:c>
      <x:c r="J5" s="18" t="str">
        <x:v>执行环境 / Environment</x:v>
      </x:c>
      <x:c r="K5" s="18" t="str">
        <x:v>结果 / Result</x:v>
      </x:c>
    </x:row>
    <x:row r="6" ht="48" customHeight="1">
      <x:c r="A6" s="19" t="str">
        <x:v>FR-001</x:v>
      </x:c>
      <x:c r="B6" s="19" t="str">
        <x:v>项目管理 / Project Management</x:v>
      </x:c>
      <x:c r="C6" s="19" t="str">
        <x:v>FR-001: Project Management / 创建独立项目目录并维护 project.json</x:v>
      </x:c>
      <x:c r="D6" s="19" t="str">
        <x:v>P0</x:v>
      </x:c>
      <x:c r="E6" s="19" t="str">
        <x:v>AC-001</x:v>
      </x:c>
      <x:c r="F6" s="19" t="str">
        <x:v>RC 构建可用；对应 fixture/项目已准备</x:v>
      </x:c>
      <x:c r="G6" s="19" t="str">
        <x:v>执行 AC-001；保存机器报告或人工截图</x:v>
      </x:c>
      <x:c r="H6" s="19" t="str">
        <x:v>满足：创建独立项目目录并维护 project.json；无 P0/P1</x:v>
      </x:c>
      <x:c r="I6" s="19" t="str">
        <x:v>tests/integration/test_m1_gate.py
tests/e2e/project-lifecycle.spec.ts</x:v>
      </x:c>
      <x:c r="J6" s="19" t="str">
        <x:v>automated_linux</x:v>
      </x:c>
      <x:c r="K6" s="19" t="str">
        <x:v>automated_evidence</x:v>
      </x:c>
    </x:row>
    <x:row r="7" ht="48" customHeight="1">
      <x:c r="A7" s="19" t="str">
        <x:v>FR-002</x:v>
      </x:c>
      <x:c r="B7" s="19" t="str">
        <x:v>材料导入 / Material Import</x:v>
      </x:c>
      <x:c r="C7" s="19" t="str">
        <x:v>FR-002: Material Import / 支持 Word、PPTX、可搜索 PDF、扫描 PDF 和 MP3/WAV</x:v>
      </x:c>
      <x:c r="D7" s="19" t="str">
        <x:v>P0</x:v>
      </x:c>
      <x:c r="E7" s="19" t="str">
        <x:v>AC-002, AC-003</x:v>
      </x:c>
      <x:c r="F7" s="19" t="str">
        <x:v>RC 构建可用；对应 fixture/项目已准备</x:v>
      </x:c>
      <x:c r="G7" s="19" t="str">
        <x:v>执行 AC-002、AC-003；保存机器报告或人工截图</x:v>
      </x:c>
      <x:c r="H7" s="19" t="str">
        <x:v>满足：支持 Word、PPTX、可搜索 PDF、扫描 PDF 和 MP3/WAV；无 P0/P1</x:v>
      </x:c>
      <x:c r="I7" s="19" t="str">
        <x:v>tests/integration/test_material_import.py
tests/acceptance/fixtures-manifest.json</x:v>
      </x:c>
      <x:c r="J7" s="19" t="str">
        <x:v>automated_linux</x:v>
      </x:c>
      <x:c r="K7" s="19" t="str">
        <x:v>automated_evidence</x:v>
      </x:c>
    </x:row>
    <x:row r="8" ht="48" customHeight="1">
      <x:c r="A8" s="19" t="str">
        <x:v>FR-003</x:v>
      </x:c>
      <x:c r="B8" s="19" t="str">
        <x:v>页面解析 / Page Parsing</x:v>
      </x:c>
      <x:c r="C8" s="19" t="str">
        <x:v>FR-003: Page Parsing / 按原页序生成预览并定位 OCR 低置信度</x:v>
      </x:c>
      <x:c r="D8" s="19" t="str">
        <x:v>P0</x:v>
      </x:c>
      <x:c r="E8" s="19" t="str">
        <x:v>AC-003</x:v>
      </x:c>
      <x:c r="F8" s="19" t="str">
        <x:v>RC 构建可用；对应 fixture/项目已准备</x:v>
      </x:c>
      <x:c r="G8" s="19" t="str">
        <x:v>执行 AC-003；保存机器报告或人工截图</x:v>
      </x:c>
      <x:c r="H8" s="19" t="str">
        <x:v>满足：按原页序生成预览并定位 OCR 低置信度；无 P0/P1</x:v>
      </x:c>
      <x:c r="I8" s="19" t="str">
        <x:v>tests/unit/parsers/test_docx_parser.py
tests/integration/test_image_pipeline.py</x:v>
      </x:c>
      <x:c r="J8" s="19" t="str">
        <x:v>automated_linux</x:v>
      </x:c>
      <x:c r="K8" s="19" t="str">
        <x:v>automated_evidence</x:v>
      </x:c>
    </x:row>
    <x:row r="9" ht="48" customHeight="1">
      <x:c r="A9" s="19" t="str">
        <x:v>FR-004</x:v>
      </x:c>
      <x:c r="B9" s="19" t="str">
        <x:v>内容匹配 / Content Matching</x:v>
      </x:c>
      <x:c r="C9" s="19" t="str">
        <x:v>FR-004: Content Matching / 自动匹配大纲与课件并允许人工修正</x:v>
      </x:c>
      <x:c r="D9" s="19" t="str">
        <x:v>P0</x:v>
      </x:c>
      <x:c r="E9" s="19" t="str">
        <x:v>AC-004</x:v>
      </x:c>
      <x:c r="F9" s="19" t="str">
        <x:v>RC 构建可用；对应 fixture/项目已准备</x:v>
      </x:c>
      <x:c r="G9" s="19" t="str">
        <x:v>执行 AC-004；保存机器报告或人工截图</x:v>
      </x:c>
      <x:c r="H9" s="19" t="str">
        <x:v>满足：自动匹配大纲与课件并允许人工修正；无 P0/P1</x:v>
      </x:c>
      <x:c r="I9" s="19" t="str">
        <x:v>tests/integration/test_matching_api.py</x:v>
      </x:c>
      <x:c r="J9" s="19" t="str">
        <x:v>automated_linux</x:v>
      </x:c>
      <x:c r="K9" s="19" t="str">
        <x:v>automated_evidence</x:v>
      </x:c>
    </x:row>
    <x:row r="10" ht="48" customHeight="1">
      <x:c r="A10" s="19" t="str">
        <x:v>FR-005</x:v>
      </x:c>
      <x:c r="B10" s="19" t="str">
        <x:v>旁白生成 / Narration Generation</x:v>
      </x:c>
      <x:c r="C10" s="19" t="str">
        <x:v>FR-005: Narration Generation / 调用 OpenAI 兼容接口生成逐页旁白</x:v>
      </x:c>
      <x:c r="D10" s="19" t="str">
        <x:v>P0</x:v>
      </x:c>
      <x:c r="E10" s="19" t="str">
        <x:v>AC-005</x:v>
      </x:c>
      <x:c r="F10" s="19" t="str">
        <x:v>RC 构建可用；对应 fixture/项目已准备</x:v>
      </x:c>
      <x:c r="G10" s="19" t="str">
        <x:v>执行 AC-005；保存机器报告或人工截图</x:v>
      </x:c>
      <x:c r="H10" s="19" t="str">
        <x:v>满足：调用 OpenAI 兼容接口生成逐页旁白；无 P0/P1</x:v>
      </x:c>
      <x:c r="I10" s="19" t="str">
        <x:v>tests/integration/test_narration_generation_api.py</x:v>
      </x:c>
      <x:c r="J10" s="19" t="str">
        <x:v>automated_linux</x:v>
      </x:c>
      <x:c r="K10" s="19" t="str">
        <x:v>automated_evidence</x:v>
      </x:c>
    </x:row>
    <x:row r="11" ht="48" customHeight="1">
      <x:c r="A11" s="19" t="str">
        <x:v>FR-006</x:v>
      </x:c>
      <x:c r="B11" s="19" t="str">
        <x:v>旁白确认 / Narration Confirmation</x:v>
      </x:c>
      <x:c r="C11" s="19" t="str">
        <x:v>FR-006: Narration Confirmation / 逐页编辑、重生成、版本恢复和人工确认</x:v>
      </x:c>
      <x:c r="D11" s="19" t="str">
        <x:v>P0</x:v>
      </x:c>
      <x:c r="E11" s="19" t="str">
        <x:v>AC-006</x:v>
      </x:c>
      <x:c r="F11" s="19" t="str">
        <x:v>RC 构建可用；对应 fixture/项目已准备</x:v>
      </x:c>
      <x:c r="G11" s="19" t="str">
        <x:v>执行 AC-006；保存机器报告或人工截图</x:v>
      </x:c>
      <x:c r="H11" s="19" t="str">
        <x:v>满足：逐页编辑、重生成、版本恢复和人工确认；无 P0/P1</x:v>
      </x:c>
      <x:c r="I11" s="19" t="str">
        <x:v>tests/integration/test_narration_versions.py
tests/unit/workflow/test_narration_gate.py</x:v>
      </x:c>
      <x:c r="J11" s="19" t="str">
        <x:v>automated_linux</x:v>
      </x:c>
      <x:c r="K11" s="19" t="str">
        <x:v>automated_evidence</x:v>
      </x:c>
    </x:row>
    <x:row r="12" ht="48" customHeight="1">
      <x:c r="A12" s="19" t="str">
        <x:v>FR-007</x:v>
      </x:c>
      <x:c r="B12" s="19" t="str">
        <x:v>HeyGen 配音 / HeyGen Voice</x:v>
      </x:c>
      <x:c r="C12" s="19" t="str">
        <x:v>FR-007: HeyGen Voice / 逐页生成本人声音并记录任务和额度</x:v>
      </x:c>
      <x:c r="D12" s="19" t="str">
        <x:v>P0</x:v>
      </x:c>
      <x:c r="E12" s="19" t="str">
        <x:v>AC-007</x:v>
      </x:c>
      <x:c r="F12" s="19" t="str">
        <x:v>RC 构建可用；对应 fixture/项目已准备</x:v>
      </x:c>
      <x:c r="G12" s="19" t="str">
        <x:v>执行 AC-007；保存机器报告或人工截图</x:v>
      </x:c>
      <x:c r="H12" s="19" t="str">
        <x:v>满足：逐页生成本人声音并记录任务和额度；无 P0/P1</x:v>
      </x:c>
      <x:c r="I12" s="19" t="str">
        <x:v>tests/integration/test_heygen_retry.py
tests/integration/test_m4_tasks_16_20_gate.py</x:v>
      </x:c>
      <x:c r="J12" s="19" t="str">
        <x:v>automated_linux + manual_windows</x:v>
      </x:c>
      <x:c r="K12" s="19" t="str">
        <x:v>pending_manual_windows</x:v>
      </x:c>
    </x:row>
    <x:row r="13" ht="48" customHeight="1">
      <x:c r="A13" s="19" t="str">
        <x:v>FR-008</x:v>
      </x:c>
      <x:c r="B13" s="19" t="str">
        <x:v>本地录音 / Local Audio</x:v>
      </x:c>
      <x:c r="C13" s="19" t="str">
        <x:v>FR-008: Local Audio / 整段音频转写、差异检查、自动分页和人工调整</x:v>
      </x:c>
      <x:c r="D13" s="19" t="str">
        <x:v>P0</x:v>
      </x:c>
      <x:c r="E13" s="19" t="str">
        <x:v>AC-008</x:v>
      </x:c>
      <x:c r="F13" s="19" t="str">
        <x:v>RC 构建可用；对应 fixture/项目已准备</x:v>
      </x:c>
      <x:c r="G13" s="19" t="str">
        <x:v>执行 AC-008；保存机器报告或人工截图</x:v>
      </x:c>
      <x:c r="H13" s="19" t="str">
        <x:v>满足：整段音频转写、差异检查、自动分页和人工调整；无 P0/P1</x:v>
      </x:c>
      <x:c r="I13" s="19" t="str">
        <x:v>tests/integration/test_transcription.py
tests/integration/test_m4_tasks_16_20_gate.py</x:v>
      </x:c>
      <x:c r="J13" s="19" t="str">
        <x:v>automated_linux</x:v>
      </x:c>
      <x:c r="K13" s="19" t="str">
        <x:v>automated_evidence</x:v>
      </x:c>
    </x:row>
    <x:row r="14" ht="48" customHeight="1">
      <x:c r="A14" s="19" t="str">
        <x:v>FR-009</x:v>
      </x:c>
      <x:c r="B14" s="19" t="str">
        <x:v>字幕 / Subtitles</x:v>
      </x:c>
      <x:c r="C14" s="19" t="str">
        <x:v>FR-009: Subtitles / 生成同步字幕并输出独立 SRT</x:v>
      </x:c>
      <x:c r="D14" s="19" t="str">
        <x:v>P0</x:v>
      </x:c>
      <x:c r="E14" s="19" t="str">
        <x:v>AC-009</x:v>
      </x:c>
      <x:c r="F14" s="19" t="str">
        <x:v>RC 构建可用；对应 fixture/项目已准备</x:v>
      </x:c>
      <x:c r="G14" s="19" t="str">
        <x:v>执行 AC-009；保存机器报告或人工截图</x:v>
      </x:c>
      <x:c r="H14" s="19" t="str">
        <x:v>满足：生成同步字幕并输出独立 SRT；无 P0/P1</x:v>
      </x:c>
      <x:c r="I14" s="19" t="str">
        <x:v>tests/integration/test_subtitle_routes.py
tests/unit/subtitles/test_subtitle_service.py</x:v>
      </x:c>
      <x:c r="J14" s="19" t="str">
        <x:v>automated_linux</x:v>
      </x:c>
      <x:c r="K14" s="19" t="str">
        <x:v>automated_evidence</x:v>
      </x:c>
    </x:row>
    <x:row r="15" ht="48" customHeight="1">
      <x:c r="A15" s="19" t="str">
        <x:v>FR-010</x:v>
      </x:c>
      <x:c r="B15" s="19" t="str">
        <x:v>Remotion 渲染 / Remotion Render</x:v>
      </x:c>
      <x:c r="C15" s="19" t="str">
        <x:v>FR-010: Remotion Render / 套用统一科技风模板并按音频匹配页面时长</x:v>
      </x:c>
      <x:c r="D15" s="19" t="str">
        <x:v>P0</x:v>
      </x:c>
      <x:c r="E15" s="19" t="str">
        <x:v>AC-010</x:v>
      </x:c>
      <x:c r="F15" s="19" t="str">
        <x:v>RC 构建可用；对应 fixture/项目已准备</x:v>
      </x:c>
      <x:c r="G15" s="19" t="str">
        <x:v>执行 AC-010；保存机器报告或人工截图</x:v>
      </x:c>
      <x:c r="H15" s="19" t="str">
        <x:v>满足：套用统一科技风模板并按音频匹配页面时长；无 P0/P1</x:v>
      </x:c>
      <x:c r="I15" s="19" t="str">
        <x:v>tests/integration/test_video_render_routes.py
remotion/src/video/TechBoardTemplate.test.tsx</x:v>
      </x:c>
      <x:c r="J15" s="19" t="str">
        <x:v>automated_linux</x:v>
      </x:c>
      <x:c r="K15" s="19" t="str">
        <x:v>automated_evidence</x:v>
      </x:c>
    </x:row>
    <x:row r="16" ht="48" customHeight="1">
      <x:c r="A16" s="19" t="str">
        <x:v>FR-011</x:v>
      </x:c>
      <x:c r="B16" s="19" t="str">
        <x:v>完整预检 / Full Preflight</x:v>
      </x:c>
      <x:c r="C16" s="19" t="str">
        <x:v>FR-011: Full Preflight / 按异常等级检查材料、接口、组件和资源</x:v>
      </x:c>
      <x:c r="D16" s="19" t="str">
        <x:v>P0</x:v>
      </x:c>
      <x:c r="E16" s="19" t="str">
        <x:v>AC-011</x:v>
      </x:c>
      <x:c r="F16" s="19" t="str">
        <x:v>RC 构建可用；对应 fixture/项目已准备</x:v>
      </x:c>
      <x:c r="G16" s="19" t="str">
        <x:v>执行 AC-011；保存机器报告或人工截图</x:v>
      </x:c>
      <x:c r="H16" s="19" t="str">
        <x:v>满足：按异常等级检查材料、接口、组件和资源；无 P0/P1</x:v>
      </x:c>
      <x:c r="I16" s="19" t="str">
        <x:v>tests/integration/test_preflight_routes.py
tests/unit/preflight</x:v>
      </x:c>
      <x:c r="J16" s="19" t="str">
        <x:v>automated_linux</x:v>
      </x:c>
      <x:c r="K16" s="19" t="str">
        <x:v>automated_evidence</x:v>
      </x:c>
    </x:row>
    <x:row r="17" ht="48" customHeight="1">
      <x:c r="A17" s="19" t="str">
        <x:v>FR-012</x:v>
      </x:c>
      <x:c r="B17" s="19" t="str">
        <x:v>断点续作 / Recovery</x:v>
      </x:c>
      <x:c r="C17" s="19" t="str">
        <x:v>FR-012: Recovery / 节点落盘、异常恢复、单页重试和局部重做</x:v>
      </x:c>
      <x:c r="D17" s="19" t="str">
        <x:v>P0</x:v>
      </x:c>
      <x:c r="E17" s="19" t="str">
        <x:v>AC-012</x:v>
      </x:c>
      <x:c r="F17" s="19" t="str">
        <x:v>RC 构建可用；对应 fixture/项目已准备</x:v>
      </x:c>
      <x:c r="G17" s="19" t="str">
        <x:v>执行 AC-012；保存机器报告或人工截图</x:v>
      </x:c>
      <x:c r="H17" s="19" t="str">
        <x:v>满足：节点落盘、异常恢复、单页重试和局部重做；无 P0/P1</x:v>
      </x:c>
      <x:c r="I17" s="19" t="str">
        <x:v>tests/integration/test_job_recovery.py
tests/unit/cache/test_invalidation_matrix.py</x:v>
      </x:c>
      <x:c r="J17" s="19" t="str">
        <x:v>automated_linux</x:v>
      </x:c>
      <x:c r="K17" s="19" t="str">
        <x:v>automated_evidence</x:v>
      </x:c>
    </x:row>
    <x:row r="18" ht="48" customHeight="1">
      <x:c r="A18" s="19" t="str">
        <x:v>FR-013</x:v>
      </x:c>
      <x:c r="B18" s="19" t="str">
        <x:v>完整导出 / Full Export</x:v>
      </x:c>
      <x:c r="C18" s="19" t="str">
        <x:v>FR-013: Full Export / 生成完整制作包和 SHA-256 清单</x:v>
      </x:c>
      <x:c r="D18" s="19" t="str">
        <x:v>P0</x:v>
      </x:c>
      <x:c r="E18" s="19" t="str">
        <x:v>AC-013</x:v>
      </x:c>
      <x:c r="F18" s="19" t="str">
        <x:v>RC 构建可用；对应 fixture/项目已准备</x:v>
      </x:c>
      <x:c r="G18" s="19" t="str">
        <x:v>执行 AC-013；保存机器报告或人工截图</x:v>
      </x:c>
      <x:c r="H18" s="19" t="str">
        <x:v>满足：生成完整制作包和 SHA-256 清单；无 P0/P1</x:v>
      </x:c>
      <x:c r="I18" s="19" t="str">
        <x:v>tests/integration/test_m5_gate.py
M7-GATE.md</x:v>
      </x:c>
      <x:c r="J18" s="19" t="str">
        <x:v>automated_linux + manual_windows</x:v>
      </x:c>
      <x:c r="K18" s="19" t="str">
        <x:v>pending_manual_windows</x:v>
      </x:c>
    </x:row>
    <x:row r="19" ht="48" customHeight="1">
      <x:c r="A19" s="19" t="str">
        <x:v>FR-014</x:v>
      </x:c>
      <x:c r="B19" s="19" t="str">
        <x:v>安装启动 / Install and Launch</x:v>
      </x:c>
      <x:c r="C19" s="19" t="str">
        <x:v>FR-014: Install and Launch / Windows 一键安装、快捷方式、环境检测和浏览器打开</x:v>
      </x:c>
      <x:c r="D19" s="19" t="str">
        <x:v>P0</x:v>
      </x:c>
      <x:c r="E19" s="19" t="str">
        <x:v>AC-014</x:v>
      </x:c>
      <x:c r="F19" s="19" t="str">
        <x:v>RC 构建可用；对应 fixture/项目已准备</x:v>
      </x:c>
      <x:c r="G19" s="19" t="str">
        <x:v>执行 AC-014；保存机器报告或人工截图</x:v>
      </x:c>
      <x:c r="H19" s="19" t="str">
        <x:v>满足：Windows 一键安装、快捷方式、环境检测和浏览器打开；无 P0/P1</x:v>
      </x:c>
      <x:c r="I19" s="19" t="str">
        <x:v>tests/release/test_launcher_contract.py
M7-GATE.md</x:v>
      </x:c>
      <x:c r="J19" s="19" t="str">
        <x:v>automated_linux + manual_windows</x:v>
      </x:c>
      <x:c r="K19" s="19" t="str">
        <x:v>pending_manual_windows</x:v>
      </x:c>
    </x:row>
    <x:row r="20" ht="48" customHeight="1">
      <x:c r="A20" s="19" t="str">
        <x:v>FR-015</x:v>
      </x:c>
      <x:c r="B20" s="19" t="str">
        <x:v>稳定版更新 / Stable Updates</x:v>
      </x:c>
      <x:c r="C20" s="19" t="str">
        <x:v>FR-015: Stable Updates / 检查更新、用户确认、备份和失败回滚</x:v>
      </x:c>
      <x:c r="D20" s="19" t="str">
        <x:v>P0</x:v>
      </x:c>
      <x:c r="E20" s="19" t="str">
        <x:v>AC-015</x:v>
      </x:c>
      <x:c r="F20" s="19" t="str">
        <x:v>RC 构建可用；对应 fixture/项目已准备</x:v>
      </x:c>
      <x:c r="G20" s="19" t="str">
        <x:v>执行 AC-015；保存机器报告或人工截图</x:v>
      </x:c>
      <x:c r="H20" s="19" t="str">
        <x:v>满足：检查更新、用户确认、备份和失败回滚；无 P0/P1</x:v>
      </x:c>
      <x:c r="I20" s="19" t="str">
        <x:v>tests/unit/updates/test_update_service.py
tests/integration/test_update_routes.py</x:v>
      </x:c>
      <x:c r="J20" s="19" t="str">
        <x:v>automated_linux + manual_windows</x:v>
      </x:c>
      <x:c r="K20" s="19" t="str">
        <x:v>pending_manual_windows</x:v>
      </x:c>
    </x:row>
    <x:row r="21" ht="48" customHeight="1">
      <x:c r="A21" s="19" t="str">
        <x:v>FR-016</x:v>
      </x:c>
      <x:c r="B21" s="19" t="str">
        <x:v>图片输入 / Image Input</x:v>
      </x:c>
      <x:c r="C21" s="19" t="str">
        <x:v>FR-016: Image Input / 多张图片自然排序并允许人工调整</x:v>
      </x:c>
      <x:c r="D21" s="19" t="str">
        <x:v>P0</x:v>
      </x:c>
      <x:c r="E21" s="19" t="str">
        <x:v>AC-016</x:v>
      </x:c>
      <x:c r="F21" s="19" t="str">
        <x:v>RC 构建可用；对应 fixture/项目已准备</x:v>
      </x:c>
      <x:c r="G21" s="19" t="str">
        <x:v>执行 AC-016；保存机器报告或人工截图</x:v>
      </x:c>
      <x:c r="H21" s="19" t="str">
        <x:v>满足：多张图片自然排序并允许人工调整；无 P0/P1</x:v>
      </x:c>
      <x:c r="I21" s="19" t="str">
        <x:v>tests/integration/test_material_import.py
tests/acceptance/fixtures-manifest.json</x:v>
      </x:c>
      <x:c r="J21" s="19" t="str">
        <x:v>automated_linux</x:v>
      </x:c>
      <x:c r="K21" s="19" t="str">
        <x:v>automated_evidence</x:v>
      </x:c>
    </x:row>
    <x:row r="22" ht="48" customHeight="1">
      <x:c r="A22" s="19" t="str">
        <x:v>NFR-001</x:v>
      </x:c>
      <x:c r="B22" s="19" t="str">
        <x:v>易用性 / Usability</x:v>
      </x:c>
      <x:c r="C22" s="19" t="str">
        <x:v>NFR-001: Usability / 标准项目从安装到导出无需手工运行命令</x:v>
      </x:c>
      <x:c r="D22" s="19" t="str">
        <x:v>P0</x:v>
      </x:c>
      <x:c r="E22" s="19" t="str">
        <x:v>AC-017</x:v>
      </x:c>
      <x:c r="F22" s="19" t="str">
        <x:v>RC 构建可用；对应 fixture/项目已准备</x:v>
      </x:c>
      <x:c r="G22" s="19" t="str">
        <x:v>执行 AC-017；保存机器报告或人工截图</x:v>
      </x:c>
      <x:c r="H22" s="19" t="str">
        <x:v>满足：标准项目从安装到导出无需手工运行命令；无 P0/P1</x:v>
      </x:c>
      <x:c r="I22" s="19" t="str">
        <x:v>tests/e2e/project-lifecycle.spec.ts
tests/release/install-smoke.ps1</x:v>
      </x:c>
      <x:c r="J22" s="19" t="str">
        <x:v>automated_linux + manual_windows</x:v>
      </x:c>
      <x:c r="K22" s="19" t="str">
        <x:v>pending_manual_windows</x:v>
      </x:c>
    </x:row>
    <x:row r="23" ht="48" customHeight="1">
      <x:c r="A23" s="19" t="str">
        <x:v>NFR-002</x:v>
      </x:c>
      <x:c r="B23" s="19" t="str">
        <x:v>可靠性 / Reliability</x:v>
      </x:c>
      <x:c r="C23" s="19" t="str">
        <x:v>NFR-002: Reliability / 异常关闭后能够恢复且成功页面不重复生成</x:v>
      </x:c>
      <x:c r="D23" s="19" t="str">
        <x:v>P0</x:v>
      </x:c>
      <x:c r="E23" s="19" t="str">
        <x:v>AC-018</x:v>
      </x:c>
      <x:c r="F23" s="19" t="str">
        <x:v>RC 构建可用；对应 fixture/项目已准备</x:v>
      </x:c>
      <x:c r="G23" s="19" t="str">
        <x:v>执行 AC-018；保存机器报告或人工截图</x:v>
      </x:c>
      <x:c r="H23" s="19" t="str">
        <x:v>满足：异常关闭后能够恢复且成功页面不重复生成；无 P0/P1</x:v>
      </x:c>
      <x:c r="I23" s="19" t="str">
        <x:v>tests/integration/test_job_recovery.py
tests/unit/updates/test_update_service.py</x:v>
      </x:c>
      <x:c r="J23" s="19" t="str">
        <x:v>automated_linux</x:v>
      </x:c>
      <x:c r="K23" s="19" t="str">
        <x:v>automated_evidence</x:v>
      </x:c>
    </x:row>
    <x:row r="24" ht="48" customHeight="1">
      <x:c r="A24" s="19" t="str">
        <x:v>NFR-003</x:v>
      </x:c>
      <x:c r="B24" s="19" t="str">
        <x:v>可维护性 / Maintainability</x:v>
      </x:c>
      <x:c r="C24" s="19" t="str">
        <x:v>NFR-003: Maintainability / 项目、模板、接口、缓存和任务边界清晰</x:v>
      </x:c>
      <x:c r="D24" s="19" t="str">
        <x:v>P1</x:v>
      </x:c>
      <x:c r="E24" s="19" t="str">
        <x:v>AC-019</x:v>
      </x:c>
      <x:c r="F24" s="19" t="str">
        <x:v>RC 构建可用；对应 fixture/项目已准备</x:v>
      </x:c>
      <x:c r="G24" s="19" t="str">
        <x:v>执行 AC-019；保存机器报告或人工截图</x:v>
      </x:c>
      <x:c r="H24" s="19" t="str">
        <x:v>满足：项目、模板、接口、缓存和任务边界清晰；无 P0/P1</x:v>
      </x:c>
      <x:c r="I24" s="19" t="str">
        <x:v>packages/contracts/openapi.json
M7-GATE.md</x:v>
      </x:c>
      <x:c r="J24" s="19" t="str">
        <x:v>automated_linux + manual_windows</x:v>
      </x:c>
      <x:c r="K24" s="19" t="str">
        <x:v>pending_manual_windows</x:v>
      </x:c>
    </x:row>
    <x:row r="25" ht="48" customHeight="1">
      <x:c r="A25" s="19" t="str">
        <x:v>NFR-004</x:v>
      </x:c>
      <x:c r="B25" s="19" t="str">
        <x:v>安全性 / Security</x:v>
      </x:c>
      <x:c r="C25" s="19" t="str">
        <x:v>NFR-004: Security / 密钥、认证头和敏感参数不进入日志或项目包</x:v>
      </x:c>
      <x:c r="D25" s="19" t="str">
        <x:v>P0</x:v>
      </x:c>
      <x:c r="E25" s="19" t="str">
        <x:v>AC-020</x:v>
      </x:c>
      <x:c r="F25" s="19" t="str">
        <x:v>RC 构建可用；对应 fixture/项目已准备</x:v>
      </x:c>
      <x:c r="G25" s="19" t="str">
        <x:v>执行 AC-020；保存机器报告或人工截图</x:v>
      </x:c>
      <x:c r="H25" s="19" t="str">
        <x:v>满足：密钥、认证头和敏感参数不进入日志或项目包；无 P0/P1</x:v>
      </x:c>
      <x:c r="I25" s="19" t="str">
        <x:v>tests/security/test_secret_redaction.py
tests/release/test_runtime_manifest.py</x:v>
      </x:c>
      <x:c r="J25" s="19" t="str">
        <x:v>automated_linux</x:v>
      </x:c>
      <x:c r="K25" s="19" t="str">
        <x:v>automated_evidence</x:v>
      </x:c>
    </x:row>
    <x:row r="26" ht="48" customHeight="1">
      <x:c r="A26" s="19" t="str">
        <x:v>NFR-005</x:v>
      </x:c>
      <x:c r="B26" s="19" t="str">
        <x:v>可追溯性 / Traceability</x:v>
      </x:c>
      <x:c r="C26" s="19" t="str">
        <x:v>NFR-005: Traceability / 源文件哈希、模型/声音/模板版本、确认和错误可追溯</x:v>
      </x:c>
      <x:c r="D26" s="19" t="str">
        <x:v>P0</x:v>
      </x:c>
      <x:c r="E26" s="19" t="str">
        <x:v>AC-021</x:v>
      </x:c>
      <x:c r="F26" s="19" t="str">
        <x:v>RC 构建可用；对应 fixture/项目已准备</x:v>
      </x:c>
      <x:c r="G26" s="19" t="str">
        <x:v>执行 AC-021；保存机器报告或人工截图</x:v>
      </x:c>
      <x:c r="H26" s="19" t="str">
        <x:v>满足：源文件哈希、模型/声音/模板版本、确认和错误可追溯；无 P0/P1</x:v>
      </x:c>
      <x:c r="I26" s="19" t="str">
        <x:v>tests/acceptance/test_traceability.py
M7-GATE.md</x:v>
      </x:c>
      <x:c r="J26" s="19" t="str">
        <x:v>automated_linux + manual_windows</x:v>
      </x:c>
      <x:c r="K26" s="19" t="str">
        <x:v>pending_manual_windows</x:v>
      </x:c>
    </x:row>
    <x:row r="27" ht="48" customHeight="1">
      <x:c r="A27" s="19" t="str">
        <x:v>NFR-006</x:v>
      </x:c>
      <x:c r="B27" s="19" t="str">
        <x:v>兼容性 / Compatibility</x:v>
      </x:c>
      <x:c r="C27" s="19" t="str">
        <x:v>NFR-006: Compatibility / 支持 Windows 中文路径和稳定依赖组合</x:v>
      </x:c>
      <x:c r="D27" s="19" t="str">
        <x:v>P0</x:v>
      </x:c>
      <x:c r="E27" s="19" t="str">
        <x:v>AC-022</x:v>
      </x:c>
      <x:c r="F27" s="19" t="str">
        <x:v>RC 构建可用；对应 fixture/项目已准备</x:v>
      </x:c>
      <x:c r="G27" s="19" t="str">
        <x:v>执行 AC-022；保存机器报告或人工截图</x:v>
      </x:c>
      <x:c r="H27" s="19" t="str">
        <x:v>满足：支持 Windows 中文路径和稳定依赖组合；无 P0/P1</x:v>
      </x:c>
      <x:c r="I27" s="19" t="str">
        <x:v>tests/unit/environment/test_detector.py
tests/release/install-smoke.ps1</x:v>
      </x:c>
      <x:c r="J27" s="19" t="str">
        <x:v>automated_linux + manual_windows</x:v>
      </x:c>
      <x:c r="K27" s="19" t="str">
        <x:v>pending_manual_windows</x:v>
      </x:c>
    </x:row>
    <x:row r="28" ht="48" customHeight="1">
      <x:c r="A28" s="19" t="str">
        <x:v>NFR-007</x:v>
      </x:c>
      <x:c r="B28" s="19" t="str">
        <x:v>输出质量 / Output Quality</x:v>
      </x:c>
      <x:c r="C28" s="19" t="str">
        <x:v>NFR-007: Output Quality / 1920×1080、16:9、音画完整、字幕同步、核心内容不裁切</x:v>
      </x:c>
      <x:c r="D28" s="19" t="str">
        <x:v>P0</x:v>
      </x:c>
      <x:c r="E28" s="19" t="str">
        <x:v>AC-023</x:v>
      </x:c>
      <x:c r="F28" s="19" t="str">
        <x:v>RC 构建可用；对应 fixture/项目已准备</x:v>
      </x:c>
      <x:c r="G28" s="19" t="str">
        <x:v>执行 AC-023；保存机器报告或人工截图</x:v>
      </x:c>
      <x:c r="H28" s="19" t="str">
        <x:v>满足：1920×1080、16:9、音画完整、字幕同步、核心内容不裁切；无 P0/P1</x:v>
      </x:c>
      <x:c r="I28" s="19" t="str">
        <x:v>tests/unit/video/test_props_service.py
tests/integration/test_m5_gate.py</x:v>
      </x:c>
      <x:c r="J28" s="19" t="str">
        <x:v>automated_linux + manual_windows</x:v>
      </x:c>
      <x:c r="K28" s="19" t="str">
        <x:v>pending_manual_windows</x:v>
      </x:c>
    </x:row>
  </x:sheetData>
  <x:mergeCells>
    <x:mergeCell ref="A1:K1"/>
  </x:mergeCells>
  <x:conditionalFormatting sqref="K6:K28">
    <x:cfRule type="containsText" dxfId="0" priority="1" operator="containsText" text="pending_manual_windows"/>
  </x:conditionalFormatting>
  <x:pageMargins left="0.7" right="0.7" top="0.75" bottom="0.75" header="0.3" footer="0.3"/>
  <x:tableParts count="1">
    <x:tablePart xmlns:r="http://schemas.openxmlformats.org/officeDocument/2006/relationships" r:id="R9ee0ca08a50648a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0" hidden="0" customWidth="1"/>
    <x:col min="3" max="3" width="24" hidden="0" customWidth="1"/>
    <x:col min="4" max="4" width="36" hidden="0" customWidth="1"/>
    <x:col min="5" max="5" width="22" hidden="0" customWidth="1"/>
    <x:col min="6" max="6" width="22" hidden="0" customWidth="1"/>
    <x:col min="7" max="7" width="42" hidden="0" customWidth="1"/>
  </x:cols>
  <x:sheetData>
    <x:row r="1" ht="30" customHeight="1">
      <x:c r="A1" s="21" t="str">
        <x:v>M8 Acceptance Fixtures / 验收数据集清单</x:v>
      </x:c>
      <x:c r="B1" s="21"/>
      <x:c r="C1" s="21"/>
      <x:c r="D1" s="21"/>
      <x:c r="E1" s="21"/>
      <x:c r="F1" s="21"/>
      <x:c r="G1" s="21"/>
    </x:row>
    <x:row r="2">
      <x:c r="A2" s="17"/>
      <x:c r="B2" s="17"/>
      <x:c r="C2" s="17"/>
      <x:c r="D2" s="17"/>
      <x:c r="E2" s="17"/>
      <x:c r="F2" s="17"/>
      <x:c r="G2" s="17"/>
    </x:row>
    <x:row r="3">
      <x:c r="A3" s="17"/>
      <x:c r="B3" s="17"/>
      <x:c r="C3" s="17"/>
      <x:c r="D3" s="17"/>
      <x:c r="E3" s="17"/>
      <x:c r="F3" s="17"/>
      <x:c r="G3" s="17"/>
    </x:row>
    <x:row r="4">
      <x:c r="A4" s="17"/>
      <x:c r="B4" s="17"/>
      <x:c r="C4" s="17"/>
      <x:c r="D4" s="17"/>
      <x:c r="E4" s="17"/>
      <x:c r="F4" s="17"/>
      <x:c r="G4" s="17"/>
    </x:row>
    <x:row r="5" ht="34" customHeight="1">
      <x:c r="A5" s="18" t="str">
        <x:v>Fixture ID</x:v>
      </x:c>
      <x:c r="B5" s="18" t="str">
        <x:v>类型 / Kind</x:v>
      </x:c>
      <x:c r="C5" s="18" t="str">
        <x:v>名称 / Name</x:v>
      </x:c>
      <x:c r="D5" s="18" t="str">
        <x:v>合成配方 / Recipe</x:v>
      </x:c>
      <x:c r="E5" s="18" t="str">
        <x:v>执行环境 / Environment</x:v>
      </x:c>
      <x:c r="F5" s="18" t="str">
        <x:v>状态 / Status</x:v>
      </x:c>
      <x:c r="G5" s="18" t="str">
        <x:v>说明 / Notes</x:v>
      </x:c>
    </x:row>
    <x:row r="6" ht="30" customHeight="1">
      <x:c r="A6" s="19" t="str">
        <x:v>FX-001</x:v>
      </x:c>
      <x:c r="B6" s="19" t="str">
        <x:v>pptx</x:v>
      </x:c>
      <x:c r="C6" s="19" t="str">
        <x:v>8页标准课件</x:v>
      </x:c>
      <x:c r="D6" s="19" t="str">
        <x:v>synthetic_8_page_pptx</x:v>
      </x:c>
      <x:c r="E6" s="19" t="str">
        <x:v>linux_automated</x:v>
      </x:c>
      <x:c r="F6" s="19" t="str">
        <x:v>ready</x:v>
      </x:c>
      <x:c r="G6" s="19" t="str">
        <x:v>覆盖页序、标题、文字提取和整页预览</x:v>
      </x:c>
    </x:row>
    <x:row r="7" ht="30" customHeight="1">
      <x:c r="A7" s="19" t="str">
        <x:v>FX-002</x:v>
      </x:c>
      <x:c r="B7" s="19" t="str">
        <x:v>pdf-searchable</x:v>
      </x:c>
      <x:c r="C7" s="19" t="str">
        <x:v>可搜索 PDF</x:v>
      </x:c>
      <x:c r="D7" s="19" t="str">
        <x:v>synthetic_searchable_pdf</x:v>
      </x:c>
      <x:c r="E7" s="19" t="str">
        <x:v>linux_automated</x:v>
      </x:c>
      <x:c r="F7" s="19" t="str">
        <x:v>ready</x:v>
      </x:c>
      <x:c r="G7" s="19" t="str">
        <x:v>覆盖文本层提取</x:v>
      </x:c>
    </x:row>
    <x:row r="8" ht="30" customHeight="1">
      <x:c r="A8" s="19" t="str">
        <x:v>FX-003</x:v>
      </x:c>
      <x:c r="B8" s="19" t="str">
        <x:v>pdf-scanned</x:v>
      </x:c>
      <x:c r="C8" s="19" t="str">
        <x:v>扫描 PDF</x:v>
      </x:c>
      <x:c r="D8" s="19" t="str">
        <x:v>synthetic_scanned_pdf_with_low_confidence_region</x:v>
      </x:c>
      <x:c r="E8" s="19" t="str">
        <x:v>windows_manual</x:v>
      </x:c>
      <x:c r="F8" s="19" t="str">
        <x:v>recipe_only</x:v>
      </x:c>
      <x:c r="G8" s="19" t="str">
        <x:v>需要目标 Windows OCR 运行时确认定位</x:v>
      </x:c>
    </x:row>
    <x:row r="9" ht="30" customHeight="1">
      <x:c r="A9" s="19" t="str">
        <x:v>FX-004</x:v>
      </x:c>
      <x:c r="B9" s="19" t="str">
        <x:v>jpg</x:v>
      </x:c>
      <x:c r="C9" s="19" t="str">
        <x:v>JPG 单页</x:v>
      </x:c>
      <x:c r="D9" s="19" t="str">
        <x:v>synthetic_jpg</x:v>
      </x:c>
      <x:c r="E9" s="19" t="str">
        <x:v>linux_automated</x:v>
      </x:c>
      <x:c r="F9" s="19" t="str">
        <x:v>ready</x:v>
      </x:c>
      <x:c r="G9" s="19" t="str">
        <x:v>图片输入</x:v>
      </x:c>
    </x:row>
    <x:row r="10" ht="30" customHeight="1">
      <x:c r="A10" s="19" t="str">
        <x:v>FX-005</x:v>
      </x:c>
      <x:c r="B10" s="19" t="str">
        <x:v>png</x:v>
      </x:c>
      <x:c r="C10" s="19" t="str">
        <x:v>PNG 单页</x:v>
      </x:c>
      <x:c r="D10" s="19" t="str">
        <x:v>synthetic_png</x:v>
      </x:c>
      <x:c r="E10" s="19" t="str">
        <x:v>linux_automated</x:v>
      </x:c>
      <x:c r="F10" s="19" t="str">
        <x:v>ready</x:v>
      </x:c>
      <x:c r="G10" s="19" t="str">
        <x:v>图片输入</x:v>
      </x:c>
    </x:row>
    <x:row r="11" ht="30" customHeight="1">
      <x:c r="A11" s="19" t="str">
        <x:v>FX-006</x:v>
      </x:c>
      <x:c r="B11" s="19" t="str">
        <x:v>webp</x:v>
      </x:c>
      <x:c r="C11" s="19" t="str">
        <x:v>WebP 单页</x:v>
      </x:c>
      <x:c r="D11" s="19" t="str">
        <x:v>synthetic_webp</x:v>
      </x:c>
      <x:c r="E11" s="19" t="str">
        <x:v>linux_automated</x:v>
      </x:c>
      <x:c r="F11" s="19" t="str">
        <x:v>ready</x:v>
      </x:c>
      <x:c r="G11" s="19" t="str">
        <x:v>图片输入</x:v>
      </x:c>
    </x:row>
    <x:row r="12" ht="30" customHeight="1">
      <x:c r="A12" s="19" t="str">
        <x:v>FX-007</x:v>
      </x:c>
      <x:c r="B12" s="19" t="str">
        <x:v>bmp</x:v>
      </x:c>
      <x:c r="C12" s="19" t="str">
        <x:v>BMP 单页</x:v>
      </x:c>
      <x:c r="D12" s="19" t="str">
        <x:v>synthetic_bmp</x:v>
      </x:c>
      <x:c r="E12" s="19" t="str">
        <x:v>linux_automated</x:v>
      </x:c>
      <x:c r="F12" s="19" t="str">
        <x:v>ready</x:v>
      </x:c>
      <x:c r="G12" s="19" t="str">
        <x:v>图片输入</x:v>
      </x:c>
    </x:row>
    <x:row r="13" ht="30" customHeight="1">
      <x:c r="A13" s="19" t="str">
        <x:v>FX-008</x:v>
      </x:c>
      <x:c r="B13" s="19" t="str">
        <x:v>tiff-multipage</x:v>
      </x:c>
      <x:c r="C13" s="19" t="str">
        <x:v>多页 TIFF</x:v>
      </x:c>
      <x:c r="D13" s="19" t="str">
        <x:v>synthetic_multipage_tiff</x:v>
      </x:c>
      <x:c r="E13" s="19" t="str">
        <x:v>windows_manual</x:v>
      </x:c>
      <x:c r="F13" s="19" t="str">
        <x:v>recipe_only</x:v>
      </x:c>
      <x:c r="G13" s="19" t="str">
        <x:v>需要目标 Windows 图片导入与页序检查</x:v>
      </x:c>
    </x:row>
    <x:row r="14" ht="30" customHeight="1">
      <x:c r="A14" s="19" t="str">
        <x:v>FX-009</x:v>
      </x:c>
      <x:c r="B14" s="19" t="str">
        <x:v>audio-wav</x:v>
      </x:c>
      <x:c r="C14" s="19" t="str">
        <x:v>本地普通话录音</x:v>
      </x:c>
      <x:c r="D14" s="19" t="str">
        <x:v>synthetic_10_minute_wav</x:v>
      </x:c>
      <x:c r="E14" s="19" t="str">
        <x:v>linux_automated</x:v>
      </x:c>
      <x:c r="F14" s="19" t="str">
        <x:v>ready</x:v>
      </x:c>
      <x:c r="G14" s="19" t="str">
        <x:v>覆盖转写、差异、分页和字幕</x:v>
      </x:c>
    </x:row>
    <x:row r="15" ht="30" customHeight="1">
      <x:c r="A15" s="19" t="str">
        <x:v>FX-010</x:v>
      </x:c>
      <x:c r="B15" s="19" t="str">
        <x:v>heygen-fake</x:v>
      </x:c>
      <x:c r="C15" s="19" t="str">
        <x:v>Fake HeyGen 服务</x:v>
      </x:c>
      <x:c r="D15" s="19" t="str">
        <x:v>local_http_fake_heygen</x:v>
      </x:c>
      <x:c r="E15" s="19" t="str">
        <x:v>linux_automated</x:v>
      </x:c>
      <x:c r="F15" s="19" t="str">
        <x:v>ready</x:v>
      </x:c>
      <x:c r="G15" s="19" t="str">
        <x:v>禁止真实计费，覆盖幂等、限流和失败重试</x:v>
      </x:c>
    </x:row>
    <x:row r="16" ht="30" customHeight="1">
      <x:c r="A16" s="19" t="str">
        <x:v>FX-011</x:v>
      </x:c>
      <x:c r="B16" s="19" t="str">
        <x:v>corrupt-file</x:v>
      </x:c>
      <x:c r="C16" s="19" t="str">
        <x:v>损坏文件和伪扩展名</x:v>
      </x:c>
      <x:c r="D16" s="19" t="str">
        <x:v>invalid_magic_bytes_and_path_traversal_names</x:v>
      </x:c>
      <x:c r="E16" s="19" t="str">
        <x:v>linux_automated</x:v>
      </x:c>
      <x:c r="F16" s="19" t="str">
        <x:v>ready</x:v>
      </x:c>
      <x:c r="G16" s="19" t="str">
        <x:v>覆盖导入阻断和敏感路径</x:v>
      </x:c>
    </x:row>
    <x:row r="17" ht="30" customHeight="1">
      <x:c r="A17" s="19" t="str">
        <x:v>FX-012</x:v>
      </x:c>
      <x:c r="B17" s="19" t="str">
        <x:v>interrupted-job</x:v>
      </x:c>
      <x:c r="C17" s="19" t="str">
        <x:v>中断与恢复注入</x:v>
      </x:c>
      <x:c r="D17" s="19" t="str">
        <x:v>terminate_at_30_70_percent_and_resume</x:v>
      </x:c>
      <x:c r="E17" s="19" t="str">
        <x:v>linux_automated</x:v>
      </x:c>
      <x:c r="F17" s="19" t="str">
        <x:v>ready</x:v>
      </x:c>
      <x:c r="G17" s="19" t="str">
        <x:v>覆盖 OCR、转写、配音、渲染阶段的检查点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271eb9fad23345e4"/>
  </x:tableParts>
</x:worksheet>
</file>